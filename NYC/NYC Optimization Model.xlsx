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inhu/Desktop/AD571_Mon/"/>
    </mc:Choice>
  </mc:AlternateContent>
  <xr:revisionPtr revIDLastSave="0" documentId="13_ncr:1_{B9D854B3-7BEE-8046-B864-EF028FE3848D}" xr6:coauthVersionLast="36" xr6:coauthVersionMax="47" xr10:uidLastSave="{00000000-0000-0000-0000-000000000000}"/>
  <bookViews>
    <workbookView xWindow="4740" yWindow="980" windowWidth="15640" windowHeight="15260" activeTab="1" xr2:uid="{06DF9EFF-2A64-8848-A1BA-F05117DA6322}"/>
  </bookViews>
  <sheets>
    <sheet name="NYC" sheetId="5" r:id="rId1"/>
    <sheet name="Chart" sheetId="6" r:id="rId2"/>
  </sheets>
  <definedNames>
    <definedName name="_xlchart.v1.0" hidden="1">Chart!$A$27:$A$39</definedName>
    <definedName name="_xlchart.v1.1" hidden="1">Chart!$B$26</definedName>
    <definedName name="_xlchart.v1.2" hidden="1">Chart!$B$27:$B$39</definedName>
    <definedName name="_xlchart.v1.3" hidden="1">Chart!$C$26</definedName>
    <definedName name="_xlchart.v1.4" hidden="1">Chart!$C$27:$C$39</definedName>
    <definedName name="_xlchart.v1.5" hidden="1">Chart!$A$27:$A$39</definedName>
    <definedName name="_xlchart.v1.6" hidden="1">Chart!$B$26</definedName>
    <definedName name="_xlchart.v1.7" hidden="1">Chart!$B$27:$B$39</definedName>
    <definedName name="_xlchart.v1.8" hidden="1">Chart!$C$26</definedName>
    <definedName name="_xlchart.v1.9" hidden="1">Chart!$C$27:$C$39</definedName>
    <definedName name="solver_adj" localSheetId="0" hidden="1">NYC!$C$19,NYC!$H$18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NYC!$C$21</definedName>
    <definedName name="solver_lhs2" localSheetId="0" hidden="1">NYC!$C$21</definedName>
    <definedName name="solver_lhs3" localSheetId="0" hidden="1">NYC!$E$25</definedName>
    <definedName name="solver_lhs4" localSheetId="0" hidden="1">NYC!$H$18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NYC!$B$15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hs1" localSheetId="0" hidden="1">NYC!$E$28</definedName>
    <definedName name="solver_rhs2" localSheetId="0" hidden="1">NYC!$C$28</definedName>
    <definedName name="solver_rhs3" localSheetId="0" hidden="1">NYC!$C$29</definedName>
    <definedName name="solver_rhs4" localSheetId="0" hidden="1">NYC!$C$30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6" l="1"/>
  <c r="K17" i="6" s="1"/>
  <c r="G29" i="5"/>
  <c r="B11" i="6"/>
  <c r="K15" i="6" l="1"/>
  <c r="K16" i="6"/>
  <c r="C19" i="6"/>
  <c r="B16" i="6" s="1"/>
  <c r="B18" i="6" l="1"/>
  <c r="B15" i="6"/>
  <c r="B17" i="6"/>
  <c r="C21" i="5"/>
  <c r="C4" i="5" s="1"/>
  <c r="I18" i="5" l="1"/>
  <c r="C20" i="5"/>
  <c r="C10" i="5" s="1"/>
  <c r="H10" i="5"/>
  <c r="I10" i="5" s="1"/>
  <c r="I12" i="5" l="1"/>
  <c r="I14" i="5" s="1"/>
  <c r="B25" i="5" s="1"/>
  <c r="C5" i="5"/>
  <c r="C3" i="5"/>
  <c r="C9" i="5"/>
  <c r="C8" i="5"/>
  <c r="C7" i="5"/>
  <c r="C6" i="5"/>
  <c r="B13" i="5" l="1"/>
  <c r="E25" i="5"/>
  <c r="I6" i="5" l="1"/>
  <c r="H6" i="5"/>
  <c r="G6" i="5"/>
  <c r="B24" i="5" l="1"/>
  <c r="B14" i="5" l="1"/>
  <c r="B15" i="5" s="1"/>
</calcChain>
</file>

<file path=xl/sharedStrings.xml><?xml version="1.0" encoding="utf-8"?>
<sst xmlns="http://schemas.openxmlformats.org/spreadsheetml/2006/main" count="68" uniqueCount="56">
  <si>
    <t xml:space="preserve">to </t>
    <phoneticPr fontId="1" type="noConversion"/>
  </si>
  <si>
    <t>Total Price</t>
    <phoneticPr fontId="1" type="noConversion"/>
  </si>
  <si>
    <t>NPV</t>
    <phoneticPr fontId="1" type="noConversion"/>
  </si>
  <si>
    <t>Discount rate</t>
    <phoneticPr fontId="1" type="noConversion"/>
  </si>
  <si>
    <t>Commission</t>
    <phoneticPr fontId="1" type="noConversion"/>
  </si>
  <si>
    <t>Total Cost</t>
    <phoneticPr fontId="1" type="noConversion"/>
  </si>
  <si>
    <t>Adjusted MP</t>
    <phoneticPr fontId="1" type="noConversion"/>
  </si>
  <si>
    <t>Revenue</t>
    <phoneticPr fontId="1" type="noConversion"/>
  </si>
  <si>
    <t>Profit</t>
    <phoneticPr fontId="1" type="noConversion"/>
  </si>
  <si>
    <t>Prediction</t>
    <phoneticPr fontId="1" type="noConversion"/>
  </si>
  <si>
    <t>Constrains</t>
    <phoneticPr fontId="1" type="noConversion"/>
  </si>
  <si>
    <t>Initial Investment</t>
  </si>
  <si>
    <t>Opening Event</t>
  </si>
  <si>
    <t>Employee</t>
  </si>
  <si>
    <t>Per GSF</t>
  </si>
  <si>
    <t>Market Penetration</t>
    <phoneticPr fontId="1" type="noConversion"/>
  </si>
  <si>
    <t>Adjusted Commission</t>
    <phoneticPr fontId="1" type="noConversion"/>
  </si>
  <si>
    <t>Increased MP</t>
    <phoneticPr fontId="1" type="noConversion"/>
  </si>
  <si>
    <t>Decrease Commission</t>
    <phoneticPr fontId="1" type="noConversion"/>
  </si>
  <si>
    <t>MP Range</t>
    <phoneticPr fontId="1" type="noConversion"/>
  </si>
  <si>
    <t>Advertising and PR (per year)</t>
    <phoneticPr fontId="1" type="noConversion"/>
  </si>
  <si>
    <t>Monthly Budget</t>
  </si>
  <si>
    <t>Cost</t>
  </si>
  <si>
    <t>Total Cost</t>
  </si>
  <si>
    <t>Initial Cost</t>
  </si>
  <si>
    <t>==&gt;</t>
  </si>
  <si>
    <t>Per month</t>
  </si>
  <si>
    <t>Professional Fees</t>
    <phoneticPr fontId="1" type="noConversion"/>
  </si>
  <si>
    <t>CRM System</t>
    <phoneticPr fontId="1" type="noConversion"/>
  </si>
  <si>
    <t>Furniturev&amp; Other Utilities</t>
    <phoneticPr fontId="1" type="noConversion"/>
  </si>
  <si>
    <t>Total Employee Space</t>
    <phoneticPr fontId="1" type="noConversion"/>
  </si>
  <si>
    <t>Per Employee Space</t>
    <phoneticPr fontId="1" type="noConversion"/>
  </si>
  <si>
    <t>Public Space</t>
    <phoneticPr fontId="1" type="noConversion"/>
  </si>
  <si>
    <t>Office Space</t>
    <phoneticPr fontId="1" type="noConversion"/>
  </si>
  <si>
    <t>Rent Cost Rate</t>
    <phoneticPr fontId="1" type="noConversion"/>
  </si>
  <si>
    <t>Space Cost (per month)</t>
    <phoneticPr fontId="1" type="noConversion"/>
  </si>
  <si>
    <t>Salary Cost (per year)</t>
    <phoneticPr fontId="1" type="noConversion"/>
  </si>
  <si>
    <t>Each Salary/yr</t>
    <phoneticPr fontId="1" type="noConversion"/>
  </si>
  <si>
    <t>Employee Minimum Number</t>
    <phoneticPr fontId="1" type="noConversion"/>
  </si>
  <si>
    <t>Increased MP (per $10k)</t>
    <phoneticPr fontId="1" type="noConversion"/>
  </si>
  <si>
    <t>2022 Q1</t>
    <phoneticPr fontId="1" type="noConversion"/>
  </si>
  <si>
    <t>2022 Q2</t>
    <phoneticPr fontId="1" type="noConversion"/>
  </si>
  <si>
    <t>2022 Q3</t>
    <phoneticPr fontId="1" type="noConversion"/>
  </si>
  <si>
    <t>2022 Q4</t>
    <phoneticPr fontId="1" type="noConversion"/>
  </si>
  <si>
    <t>2023 Q1</t>
    <phoneticPr fontId="1" type="noConversion"/>
  </si>
  <si>
    <t>2023 Q2</t>
    <phoneticPr fontId="1" type="noConversion"/>
  </si>
  <si>
    <t>2023 Q3</t>
    <phoneticPr fontId="1" type="noConversion"/>
  </si>
  <si>
    <t>2023 Q4</t>
    <phoneticPr fontId="1" type="noConversion"/>
  </si>
  <si>
    <t>Space</t>
    <phoneticPr fontId="1" type="noConversion"/>
  </si>
  <si>
    <t>Labor</t>
    <phoneticPr fontId="1" type="noConversion"/>
  </si>
  <si>
    <t>Marketing</t>
    <phoneticPr fontId="1" type="noConversion"/>
  </si>
  <si>
    <t>Commercial</t>
    <phoneticPr fontId="1" type="noConversion"/>
  </si>
  <si>
    <t>Residential</t>
    <phoneticPr fontId="1" type="noConversion"/>
  </si>
  <si>
    <t>Mixed</t>
    <phoneticPr fontId="1" type="noConversion"/>
  </si>
  <si>
    <t>Sales units</t>
    <phoneticPr fontId="1" type="noConversion"/>
  </si>
  <si>
    <t>Proportion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</si>
</sst>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6" formatCode="0.0000_);[Red]\(0.0000\)"/>
    <numFmt numFmtId="177" formatCode="_(&quot;$&quot;* #,##0_);_(&quot;$&quot;* \(#,##0\);_(&quot;$&quot;* &quot;-&quot;??_);_(@_)"/>
    <numFmt numFmtId="178" formatCode="0.0%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u/>
      <sz val="12"/>
      <color theme="1"/>
      <name val="Helvetica"/>
      <family val="2"/>
    </font>
    <font>
      <b/>
      <sz val="12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0" fontId="4" fillId="3" borderId="0" xfId="0" applyFont="1" applyFill="1">
      <alignment vertical="center"/>
    </xf>
    <xf numFmtId="0" fontId="4" fillId="5" borderId="0" xfId="0" applyFont="1" applyFill="1">
      <alignment vertical="center"/>
    </xf>
    <xf numFmtId="0" fontId="5" fillId="0" borderId="0" xfId="0" applyFont="1">
      <alignment vertical="center"/>
    </xf>
    <xf numFmtId="9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44" fontId="3" fillId="0" borderId="0" xfId="1" applyFont="1">
      <alignment vertical="center"/>
    </xf>
    <xf numFmtId="44" fontId="0" fillId="0" borderId="0" xfId="0" applyNumberFormat="1">
      <alignment vertical="center"/>
    </xf>
    <xf numFmtId="177" fontId="3" fillId="0" borderId="0" xfId="1" applyNumberFormat="1" applyFont="1">
      <alignment vertical="center"/>
    </xf>
    <xf numFmtId="177" fontId="3" fillId="4" borderId="0" xfId="1" applyNumberFormat="1" applyFont="1" applyFill="1">
      <alignment vertical="center"/>
    </xf>
    <xf numFmtId="176" fontId="3" fillId="0" borderId="0" xfId="0" applyNumberFormat="1" applyFont="1" applyAlignment="1">
      <alignment horizontal="center" vertical="center"/>
    </xf>
    <xf numFmtId="176" fontId="3" fillId="6" borderId="0" xfId="0" applyNumberFormat="1" applyFont="1" applyFill="1">
      <alignment vertical="center"/>
    </xf>
    <xf numFmtId="0" fontId="3" fillId="6" borderId="0" xfId="0" applyFont="1" applyFill="1">
      <alignment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77" fontId="3" fillId="0" borderId="0" xfId="0" applyNumberFormat="1" applyFont="1">
      <alignment vertical="center"/>
    </xf>
    <xf numFmtId="9" fontId="3" fillId="0" borderId="0" xfId="2" applyFont="1" applyAlignment="1">
      <alignment vertical="center"/>
    </xf>
    <xf numFmtId="44" fontId="3" fillId="0" borderId="0" xfId="1" applyNumberFormat="1" applyFont="1">
      <alignment vertical="center"/>
    </xf>
    <xf numFmtId="0" fontId="3" fillId="0" borderId="0" xfId="1" applyNumberFormat="1" applyFont="1" applyFill="1">
      <alignment vertical="center"/>
    </xf>
    <xf numFmtId="177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178" fontId="3" fillId="0" borderId="0" xfId="2" applyNumberFormat="1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" fontId="0" fillId="0" borderId="0" xfId="0" applyNumberFormat="1">
      <alignment vertical="center"/>
    </xf>
    <xf numFmtId="9" fontId="0" fillId="0" borderId="0" xfId="2" applyFont="1">
      <alignment vertical="center"/>
    </xf>
  </cellXfs>
  <cellStyles count="3">
    <cellStyle name="一般" xfId="0" builtinId="0"/>
    <cellStyle name="百分比" xfId="2" builtinId="5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Chart!$A$3:$A$10</c:f>
              <c:strCache>
                <c:ptCount val="8"/>
                <c:pt idx="0">
                  <c:v>2022 Q1</c:v>
                </c:pt>
                <c:pt idx="1">
                  <c:v>2022 Q2</c:v>
                </c:pt>
                <c:pt idx="2">
                  <c:v>2022 Q3</c:v>
                </c:pt>
                <c:pt idx="3">
                  <c:v>2022 Q4</c:v>
                </c:pt>
                <c:pt idx="4">
                  <c:v>2023 Q1</c:v>
                </c:pt>
                <c:pt idx="5">
                  <c:v>2023 Q2</c:v>
                </c:pt>
                <c:pt idx="6">
                  <c:v>2023 Q3</c:v>
                </c:pt>
                <c:pt idx="7">
                  <c:v>2023 Q4</c:v>
                </c:pt>
              </c:strCache>
            </c:strRef>
          </c:cat>
          <c:val>
            <c:numRef>
              <c:f>Chart!$B$3:$B$10</c:f>
              <c:numCache>
                <c:formatCode>0</c:formatCode>
                <c:ptCount val="8"/>
                <c:pt idx="0">
                  <c:v>136511.40843733333</c:v>
                </c:pt>
                <c:pt idx="1">
                  <c:v>149330.29000800001</c:v>
                </c:pt>
                <c:pt idx="2">
                  <c:v>139083.69007466667</c:v>
                </c:pt>
                <c:pt idx="3">
                  <c:v>143339.16998933334</c:v>
                </c:pt>
                <c:pt idx="4">
                  <c:v>144682.08962666668</c:v>
                </c:pt>
                <c:pt idx="5">
                  <c:v>157500.97119733333</c:v>
                </c:pt>
                <c:pt idx="6">
                  <c:v>147254.36761333334</c:v>
                </c:pt>
                <c:pt idx="7">
                  <c:v>151509.84752800001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6-AD4F-9236-306508D9E8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0111504"/>
        <c:axId val="1739712912"/>
      </c:barChart>
      <c:catAx>
        <c:axId val="183011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712912"/>
        <c:crosses val="autoZero"/>
        <c:auto val="1"/>
        <c:lblAlgn val="ctr"/>
        <c:lblOffset val="100"/>
        <c:noMultiLvlLbl val="0"/>
      </c:catAx>
      <c:valAx>
        <c:axId val="173971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011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Chart!$B$14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CA9-B541-A29C-7A3D10EC42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A9-B541-A29C-7A3D10EC42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CA9-B541-A29C-7A3D10EC42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A9-B541-A29C-7A3D10EC423A}"/>
              </c:ext>
            </c:extLst>
          </c:dPt>
          <c:dLbls>
            <c:dLbl>
              <c:idx val="0"/>
              <c:layout>
                <c:manualLayout>
                  <c:x val="4.1622922134733158E-4"/>
                  <c:y val="4.197397200349953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A9-B541-A29C-7A3D10EC423A}"/>
                </c:ext>
              </c:extLst>
            </c:dLbl>
            <c:dLbl>
              <c:idx val="1"/>
              <c:layout>
                <c:manualLayout>
                  <c:x val="3.4615048118985126E-3"/>
                  <c:y val="4.58686934966462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A9-B541-A29C-7A3D10EC423A}"/>
                </c:ext>
              </c:extLst>
            </c:dLbl>
            <c:dLbl>
              <c:idx val="2"/>
              <c:layout>
                <c:manualLayout>
                  <c:x val="-6.781692913385827E-2"/>
                  <c:y val="-0.1289428404782736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A9-B541-A29C-7A3D10EC423A}"/>
                </c:ext>
              </c:extLst>
            </c:dLbl>
            <c:dLbl>
              <c:idx val="3"/>
              <c:layout>
                <c:manualLayout>
                  <c:x val="1.357917760279965E-2"/>
                  <c:y val="3.8293598716827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A9-B541-A29C-7A3D10EC42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Chart!$A$15:$A$18</c:f>
              <c:strCache>
                <c:ptCount val="4"/>
                <c:pt idx="0">
                  <c:v>Initial Investment</c:v>
                </c:pt>
                <c:pt idx="1">
                  <c:v>Space</c:v>
                </c:pt>
                <c:pt idx="2">
                  <c:v>Labor</c:v>
                </c:pt>
                <c:pt idx="3">
                  <c:v>Marketing</c:v>
                </c:pt>
              </c:strCache>
            </c:strRef>
          </c:cat>
          <c:val>
            <c:numRef>
              <c:f>Chart!$B$15:$B$18</c:f>
              <c:numCache>
                <c:formatCode>0.0%</c:formatCode>
                <c:ptCount val="4"/>
                <c:pt idx="0">
                  <c:v>0.13298523370945084</c:v>
                </c:pt>
                <c:pt idx="1">
                  <c:v>0.12788632909022149</c:v>
                </c:pt>
                <c:pt idx="2">
                  <c:v>0.6387529704200362</c:v>
                </c:pt>
                <c:pt idx="3">
                  <c:v>0.10037546678029141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9-B541-A29C-7A3D10EC423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Chart!$B$26</c:f>
              <c:strCache>
                <c:ptCount val="1"/>
                <c:pt idx="0">
                  <c:v>Residential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Chart!$A$27:$A$39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Chart!$B$27:$B$39</c:f>
              <c:numCache>
                <c:formatCode>General</c:formatCode>
                <c:ptCount val="13"/>
                <c:pt idx="0">
                  <c:v>57103947</c:v>
                </c:pt>
                <c:pt idx="1">
                  <c:v>54967199</c:v>
                </c:pt>
                <c:pt idx="2">
                  <c:v>53052448</c:v>
                </c:pt>
                <c:pt idx="3">
                  <c:v>48700343</c:v>
                </c:pt>
                <c:pt idx="4">
                  <c:v>54576783</c:v>
                </c:pt>
                <c:pt idx="5">
                  <c:v>67754278</c:v>
                </c:pt>
                <c:pt idx="6">
                  <c:v>80168137</c:v>
                </c:pt>
                <c:pt idx="7">
                  <c:v>114389123</c:v>
                </c:pt>
                <c:pt idx="8">
                  <c:v>135194658</c:v>
                </c:pt>
                <c:pt idx="9">
                  <c:v>139564614</c:v>
                </c:pt>
                <c:pt idx="10">
                  <c:v>155606245</c:v>
                </c:pt>
                <c:pt idx="11">
                  <c:v>130825088</c:v>
                </c:pt>
                <c:pt idx="12">
                  <c:v>117002827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D-404C-8952-E4F857042789}"/>
            </c:ext>
          </c:extLst>
        </c:ser>
        <c:ser>
          <c:idx val="1"/>
          <c:order val="1"/>
          <c:tx>
            <c:strRef>
              <c:f>Chart!$C$26</c:f>
              <c:strCache>
                <c:ptCount val="1"/>
                <c:pt idx="0">
                  <c:v>Commercial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Chart!$A$27:$A$39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Chart!$C$27:$C$39</c:f>
              <c:numCache>
                <c:formatCode>General</c:formatCode>
                <c:ptCount val="13"/>
                <c:pt idx="0">
                  <c:v>17955000</c:v>
                </c:pt>
                <c:pt idx="1">
                  <c:v>9174125</c:v>
                </c:pt>
                <c:pt idx="2">
                  <c:v>5838670</c:v>
                </c:pt>
                <c:pt idx="3">
                  <c:v>69585000</c:v>
                </c:pt>
                <c:pt idx="4">
                  <c:v>16262742</c:v>
                </c:pt>
                <c:pt idx="5">
                  <c:v>7347000</c:v>
                </c:pt>
                <c:pt idx="6">
                  <c:v>13523736</c:v>
                </c:pt>
                <c:pt idx="7">
                  <c:v>32762500</c:v>
                </c:pt>
                <c:pt idx="8">
                  <c:v>20849827</c:v>
                </c:pt>
                <c:pt idx="9">
                  <c:v>16172292</c:v>
                </c:pt>
                <c:pt idx="10">
                  <c:v>23098200</c:v>
                </c:pt>
                <c:pt idx="11">
                  <c:v>22744005</c:v>
                </c:pt>
                <c:pt idx="12">
                  <c:v>13950000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9D-404C-8952-E4F857042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421263"/>
        <c:axId val="236170863"/>
      </c:lineChart>
      <c:catAx>
        <c:axId val="2764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170863"/>
        <c:crosses val="autoZero"/>
        <c:auto val="1"/>
        <c:lblAlgn val="ctr"/>
        <c:lblOffset val="100"/>
        <c:noMultiLvlLbl val="0"/>
      </c:catAx>
      <c:valAx>
        <c:axId val="23617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Price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642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Chart!$M$14</c:f>
              <c:strCache>
                <c:ptCount val="1"/>
                <c:pt idx="0">
                  <c:v>Sales units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A7-E14B-B6A8-87A16F5E48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AA7-E14B-B6A8-87A16F5E48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AA7-E14B-B6A8-87A16F5E4868}"/>
              </c:ext>
            </c:extLst>
          </c:dPt>
          <c:dLbls>
            <c:dLbl>
              <c:idx val="0"/>
              <c:layout>
                <c:manualLayout>
                  <c:x val="0.15662680966296061"/>
                  <c:y val="-3.47318669012252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A7-E14B-B6A8-87A16F5E4868}"/>
                </c:ext>
              </c:extLst>
            </c:dLbl>
            <c:dLbl>
              <c:idx val="1"/>
              <c:layout>
                <c:manualLayout>
                  <c:x val="-5.1613748713121563E-2"/>
                  <c:y val="2.62945180011963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A7-E14B-B6A8-87A16F5E4868}"/>
                </c:ext>
              </c:extLst>
            </c:dLbl>
            <c:dLbl>
              <c:idx val="2"/>
              <c:layout>
                <c:manualLayout>
                  <c:x val="2.9917329305942222E-2"/>
                  <c:y val="1.16831048738512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A7-E14B-B6A8-87A16F5E4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Chart!$L$15:$L$17</c:f>
              <c:strCache>
                <c:ptCount val="3"/>
                <c:pt idx="0">
                  <c:v>Residential</c:v>
                </c:pt>
                <c:pt idx="1">
                  <c:v>Commercial</c:v>
                </c:pt>
                <c:pt idx="2">
                  <c:v>Mixed</c:v>
                </c:pt>
              </c:strCache>
            </c:strRef>
          </c:cat>
          <c:val>
            <c:numRef>
              <c:f>Chart!$M$15:$M$17</c:f>
              <c:numCache>
                <c:formatCode>0%</c:formatCode>
                <c:ptCount val="3"/>
                <c:pt idx="0">
                  <c:v>0.95183266167722125</c:v>
                </c:pt>
                <c:pt idx="1">
                  <c:v>3.8380349261178275E-2</c:v>
                </c:pt>
                <c:pt idx="2">
                  <c:v>9.7869890616004603E-3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7-E14B-B6A8-87A16F5E48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300349</xdr:colOff>
      <xdr:row>1</xdr:row>
      <xdr:rowOff>14274</xdr:rowOff>
    </xdr:from>
    <xdr:to>
      <xdr:col>7</xdr:col>
      <xdr:colOff>574745</xdr:colOff>
      <xdr:row>10</xdr:row>
      <xdr:rowOff>74160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4E558593-E886-0F40-A9BD-63930D08D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351336</xdr:colOff>
      <xdr:row>11</xdr:row>
      <xdr:rowOff>79166</xdr:rowOff>
    </xdr:from>
    <xdr:to>
      <xdr:col>6</xdr:col>
      <xdr:colOff>880656</xdr:colOff>
      <xdr:row>22</xdr:row>
      <xdr:rowOff>139051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EDEE1E0-D5CA-3F48-BAE2-3C62E7886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584200</xdr:colOff>
      <xdr:row>24</xdr:row>
      <xdr:rowOff>133350</xdr:rowOff>
    </xdr:from>
    <xdr:to>
      <xdr:col>12</xdr:col>
      <xdr:colOff>762000</xdr:colOff>
      <xdr:row>39</xdr:row>
      <xdr:rowOff>19050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D8F1109-8A4A-9942-BF99-1E8478378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330200</xdr:colOff>
      <xdr:row>10</xdr:row>
      <xdr:rowOff>133350</xdr:rowOff>
    </xdr:from>
    <xdr:to>
      <xdr:col>16</xdr:col>
      <xdr:colOff>702164</xdr:colOff>
      <xdr:row>23</xdr:row>
      <xdr:rowOff>79375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3522E3D3-FE6F-FE41-8AFB-249AA6E76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022F-A53D-464B-B396-461837A6470B}">
  <dimension ref="A2:J30"/>
  <sheetViews>
    <sheetView zoomScaleNormal="100" workbookViewId="0">
      <selection activeCell="H29" sqref="H29"/>
    </sheetView>
  </sheetViews>
  <sheetFormatPr baseColWidth="10" defaultColWidth="11" defaultRowHeight="15"/>
  <cols>
    <col min="1" max="2" width="14.33203125" customWidth="1"/>
    <col min="3" max="3" width="11.6640625" customWidth="1"/>
    <col min="4" max="4" width="10" customWidth="1"/>
    <col min="5" max="5" width="10.5" customWidth="1"/>
    <col min="6" max="6" width="5.5" customWidth="1"/>
    <col min="7" max="7" width="19.6640625" customWidth="1"/>
    <col min="8" max="8" width="13.33203125" customWidth="1"/>
    <col min="9" max="9" width="18" customWidth="1"/>
    <col min="10" max="10" width="12.33203125" bestFit="1" customWidth="1"/>
  </cols>
  <sheetData>
    <row r="2" spans="1:10" ht="16">
      <c r="A2" s="17" t="s">
        <v>9</v>
      </c>
      <c r="B2" s="17" t="s">
        <v>1</v>
      </c>
      <c r="C2" s="17" t="s">
        <v>7</v>
      </c>
      <c r="G2" s="18" t="s">
        <v>23</v>
      </c>
      <c r="H2" s="1"/>
      <c r="I2" s="1"/>
    </row>
    <row r="3" spans="1:10" ht="16">
      <c r="A3" s="2">
        <v>2022.1</v>
      </c>
      <c r="B3" s="11">
        <v>37393556</v>
      </c>
      <c r="C3" s="11">
        <f>B3*$C$20*$C$21</f>
        <v>136511.40843733333</v>
      </c>
      <c r="G3" s="6" t="s">
        <v>11</v>
      </c>
      <c r="H3" s="1"/>
      <c r="I3" s="1"/>
    </row>
    <row r="4" spans="1:10" ht="16">
      <c r="A4" s="2">
        <v>2022.2</v>
      </c>
      <c r="B4" s="11">
        <v>40904937</v>
      </c>
      <c r="C4" s="11">
        <f>B4*$C$20*$C$21</f>
        <v>149330.29000800001</v>
      </c>
      <c r="G4" s="1" t="s">
        <v>27</v>
      </c>
      <c r="H4" s="1" t="s">
        <v>28</v>
      </c>
      <c r="I4" s="1" t="s">
        <v>29</v>
      </c>
    </row>
    <row r="5" spans="1:10" ht="16">
      <c r="A5" s="2">
        <v>2022.3</v>
      </c>
      <c r="B5" s="11">
        <v>38098162</v>
      </c>
      <c r="C5" s="11">
        <f t="shared" ref="C5:C9" si="0">B5*$C$20*$C$21</f>
        <v>139083.69007466667</v>
      </c>
      <c r="G5" s="7">
        <v>0.02</v>
      </c>
      <c r="H5" s="7">
        <v>0.04</v>
      </c>
      <c r="I5" s="7">
        <v>0.02</v>
      </c>
    </row>
    <row r="6" spans="1:10" ht="16">
      <c r="A6" s="2">
        <v>2022.4</v>
      </c>
      <c r="B6" s="11">
        <v>39263834</v>
      </c>
      <c r="C6" s="11">
        <f t="shared" si="0"/>
        <v>143339.16998933334</v>
      </c>
      <c r="G6" s="12">
        <f>B13*G5</f>
        <v>21860.484703985239</v>
      </c>
      <c r="H6" s="12">
        <f>B13*H5</f>
        <v>43720.969407970479</v>
      </c>
      <c r="I6" s="12">
        <f>B13*I5</f>
        <v>21860.484703985239</v>
      </c>
    </row>
    <row r="7" spans="1:10" ht="16">
      <c r="A7" s="2">
        <v>2023.1</v>
      </c>
      <c r="B7" s="11">
        <v>39631690</v>
      </c>
      <c r="C7" s="11">
        <f t="shared" si="0"/>
        <v>144682.08962666668</v>
      </c>
      <c r="G7" s="1"/>
      <c r="H7" s="1"/>
      <c r="I7" s="1"/>
    </row>
    <row r="8" spans="1:10" ht="16">
      <c r="A8" s="2">
        <v>2023.2</v>
      </c>
      <c r="B8" s="11">
        <v>43143071</v>
      </c>
      <c r="C8" s="11">
        <f t="shared" si="0"/>
        <v>157500.97119733333</v>
      </c>
      <c r="G8" s="6" t="s">
        <v>48</v>
      </c>
      <c r="H8" s="1"/>
      <c r="I8" s="1"/>
    </row>
    <row r="9" spans="1:10" ht="16">
      <c r="A9" s="2">
        <v>2023.3</v>
      </c>
      <c r="B9" s="11">
        <v>40336295</v>
      </c>
      <c r="C9" s="11">
        <f t="shared" si="0"/>
        <v>147254.36761333334</v>
      </c>
      <c r="G9" s="1" t="s">
        <v>31</v>
      </c>
      <c r="H9" s="1" t="s">
        <v>13</v>
      </c>
      <c r="I9" s="1" t="s">
        <v>30</v>
      </c>
    </row>
    <row r="10" spans="1:10" ht="16">
      <c r="A10" s="2">
        <v>2023.4</v>
      </c>
      <c r="B10" s="11">
        <v>41501967</v>
      </c>
      <c r="C10" s="11">
        <f>B10*$C$20*$C$21</f>
        <v>151509.84752800001</v>
      </c>
      <c r="G10" s="1">
        <v>125</v>
      </c>
      <c r="H10" s="1">
        <f>H18</f>
        <v>3</v>
      </c>
      <c r="I10" s="1">
        <f>G10*H10</f>
        <v>375</v>
      </c>
    </row>
    <row r="11" spans="1:10" ht="16">
      <c r="G11" s="29" t="s">
        <v>32</v>
      </c>
      <c r="H11" s="29"/>
      <c r="I11" s="1">
        <v>250</v>
      </c>
    </row>
    <row r="12" spans="1:10" ht="16">
      <c r="A12" s="19" t="s">
        <v>3</v>
      </c>
      <c r="B12" s="8">
        <v>1.4999999999999999E-2</v>
      </c>
      <c r="G12" s="29" t="s">
        <v>33</v>
      </c>
      <c r="H12" s="29"/>
      <c r="I12" s="1">
        <f>I10+I11</f>
        <v>625</v>
      </c>
    </row>
    <row r="13" spans="1:10" ht="16">
      <c r="A13" s="19" t="s">
        <v>2</v>
      </c>
      <c r="B13" s="11">
        <f>NPV(B12,C3:C10)</f>
        <v>1093024.2351992619</v>
      </c>
      <c r="D13" s="10"/>
      <c r="G13" s="1" t="s">
        <v>34</v>
      </c>
      <c r="H13" s="1" t="s">
        <v>14</v>
      </c>
      <c r="I13" s="1" t="s">
        <v>35</v>
      </c>
    </row>
    <row r="14" spans="1:10" ht="16">
      <c r="A14" s="19" t="s">
        <v>5</v>
      </c>
      <c r="B14" s="20">
        <f>B24+B25</f>
        <v>657531.18881594099</v>
      </c>
      <c r="G14" s="1">
        <v>1.4999999999999999E-2</v>
      </c>
      <c r="H14" s="9">
        <v>373.73</v>
      </c>
      <c r="I14" s="12">
        <f>H14*G14*I12</f>
        <v>3503.71875</v>
      </c>
      <c r="J14" s="10"/>
    </row>
    <row r="15" spans="1:10" ht="16">
      <c r="A15" s="19" t="s">
        <v>8</v>
      </c>
      <c r="B15" s="20">
        <f>B13-B14</f>
        <v>435493.04638332094</v>
      </c>
      <c r="D15" s="10"/>
      <c r="G15" s="1"/>
      <c r="H15" s="1"/>
      <c r="I15" s="1"/>
    </row>
    <row r="16" spans="1:10" ht="16">
      <c r="B16" s="20"/>
      <c r="D16" s="10"/>
      <c r="G16" s="6" t="s">
        <v>49</v>
      </c>
      <c r="H16" s="1"/>
      <c r="I16" s="1"/>
    </row>
    <row r="17" spans="1:10" ht="16">
      <c r="A17" s="29" t="s">
        <v>15</v>
      </c>
      <c r="B17" s="29"/>
      <c r="C17" s="3">
        <v>5.5E-2</v>
      </c>
      <c r="G17" s="1" t="s">
        <v>37</v>
      </c>
      <c r="H17" s="1" t="s">
        <v>13</v>
      </c>
      <c r="I17" s="1" t="s">
        <v>36</v>
      </c>
    </row>
    <row r="18" spans="1:10" ht="16">
      <c r="A18" s="29" t="s">
        <v>4</v>
      </c>
      <c r="B18" s="29"/>
      <c r="C18" s="3">
        <v>0.05</v>
      </c>
      <c r="G18" s="11">
        <v>70000</v>
      </c>
      <c r="H18" s="15">
        <v>3</v>
      </c>
      <c r="I18" s="12">
        <f>G18*H18</f>
        <v>210000</v>
      </c>
      <c r="J18" s="24"/>
    </row>
    <row r="19" spans="1:10" ht="16">
      <c r="A19" s="29" t="s">
        <v>18</v>
      </c>
      <c r="B19" s="29"/>
      <c r="C19" s="14">
        <v>6.6666666666671023E-4</v>
      </c>
      <c r="G19" s="1" t="s">
        <v>17</v>
      </c>
      <c r="H19" s="1">
        <v>5.0000000000000001E-3</v>
      </c>
      <c r="I19" s="1"/>
    </row>
    <row r="20" spans="1:10" ht="16">
      <c r="A20" s="29" t="s">
        <v>16</v>
      </c>
      <c r="B20" s="29"/>
      <c r="C20" s="3">
        <f>C18-C19</f>
        <v>4.9333333333333292E-2</v>
      </c>
    </row>
    <row r="21" spans="1:10" ht="16">
      <c r="A21" s="29" t="s">
        <v>6</v>
      </c>
      <c r="B21" s="29"/>
      <c r="C21" s="3">
        <f>C17+(C19/0.001*0.0015)+H18*H19+I24*I23/10000</f>
        <v>7.4000000000000066E-2</v>
      </c>
      <c r="G21" s="6" t="s">
        <v>50</v>
      </c>
      <c r="H21" s="1"/>
      <c r="I21" s="1"/>
    </row>
    <row r="22" spans="1:10" ht="16">
      <c r="G22" s="29" t="s">
        <v>12</v>
      </c>
      <c r="H22" s="29"/>
      <c r="I22" s="12">
        <v>6000</v>
      </c>
    </row>
    <row r="23" spans="1:10" ht="16">
      <c r="A23" s="5" t="s">
        <v>23</v>
      </c>
      <c r="G23" s="16" t="s">
        <v>20</v>
      </c>
      <c r="H23" s="16"/>
      <c r="I23" s="12">
        <v>30000</v>
      </c>
      <c r="J23" s="24"/>
    </row>
    <row r="24" spans="1:10" ht="16">
      <c r="A24" s="3" t="s">
        <v>24</v>
      </c>
      <c r="B24" s="11">
        <f>G6+H6+I6</f>
        <v>87441.938815940957</v>
      </c>
      <c r="C24" s="3"/>
      <c r="D24" s="3"/>
      <c r="E24" s="3"/>
      <c r="G24" s="1" t="s">
        <v>39</v>
      </c>
      <c r="H24" s="21"/>
      <c r="I24" s="23">
        <v>1E-3</v>
      </c>
    </row>
    <row r="25" spans="1:10" ht="16">
      <c r="A25" s="3" t="s">
        <v>22</v>
      </c>
      <c r="B25" s="22">
        <f>I14*24+I18*2+I22+I23*2</f>
        <v>570089.25</v>
      </c>
      <c r="C25" s="13" t="s">
        <v>25</v>
      </c>
      <c r="D25" s="3" t="s">
        <v>26</v>
      </c>
      <c r="E25" s="11">
        <f>B25/24</f>
        <v>23753.71875</v>
      </c>
      <c r="G25" s="16"/>
    </row>
    <row r="27" spans="1:10" ht="16">
      <c r="A27" s="4" t="s">
        <v>10</v>
      </c>
      <c r="B27" s="1"/>
      <c r="C27" s="1"/>
      <c r="D27" s="1"/>
      <c r="E27" s="1"/>
      <c r="G27">
        <v>435493</v>
      </c>
    </row>
    <row r="28" spans="1:10" ht="16">
      <c r="A28" s="28" t="s">
        <v>19</v>
      </c>
      <c r="B28" s="28"/>
      <c r="C28" s="1">
        <v>0.04</v>
      </c>
      <c r="D28" s="2" t="s">
        <v>0</v>
      </c>
      <c r="E28" s="1">
        <v>0.1</v>
      </c>
      <c r="G28">
        <v>657531</v>
      </c>
    </row>
    <row r="29" spans="1:10" ht="16">
      <c r="A29" s="28" t="s">
        <v>21</v>
      </c>
      <c r="B29" s="28"/>
      <c r="C29" s="11">
        <v>25000</v>
      </c>
      <c r="D29" s="1"/>
      <c r="E29" s="1"/>
      <c r="G29">
        <f>G27/G28</f>
        <v>0.66231554101631707</v>
      </c>
    </row>
    <row r="30" spans="1:10" ht="16">
      <c r="A30" s="28" t="s">
        <v>38</v>
      </c>
      <c r="B30" s="28"/>
      <c r="C30" s="1">
        <v>3</v>
      </c>
    </row>
  </sheetData>
  <mergeCells count="11">
    <mergeCell ref="A30:B30"/>
    <mergeCell ref="G22:H22"/>
    <mergeCell ref="G11:H11"/>
    <mergeCell ref="G12:H12"/>
    <mergeCell ref="A28:B28"/>
    <mergeCell ref="A29:B29"/>
    <mergeCell ref="A17:B17"/>
    <mergeCell ref="A20:B20"/>
    <mergeCell ref="A18:B18"/>
    <mergeCell ref="A21:B21"/>
    <mergeCell ref="A19:B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6B4C-3496-844C-93D2-F050AB2A8CAC}">
  <dimension ref="A2:M41"/>
  <sheetViews>
    <sheetView tabSelected="1" topLeftCell="B1" zoomScale="75" zoomScaleNormal="100" workbookViewId="0">
      <selection activeCell="I15" sqref="I15"/>
    </sheetView>
  </sheetViews>
  <sheetFormatPr baseColWidth="10" defaultRowHeight="15"/>
  <cols>
    <col min="2" max="2" width="12.5" bestFit="1" customWidth="1"/>
    <col min="4" max="4" width="12.33203125" bestFit="1" customWidth="1"/>
    <col min="7" max="7" width="12.5" bestFit="1" customWidth="1"/>
  </cols>
  <sheetData>
    <row r="2" spans="1:13" ht="16">
      <c r="A2" s="17" t="s">
        <v>9</v>
      </c>
      <c r="B2" s="17" t="s">
        <v>7</v>
      </c>
      <c r="C2" s="1"/>
    </row>
    <row r="3" spans="1:13" ht="16">
      <c r="A3" s="25" t="s">
        <v>40</v>
      </c>
      <c r="B3" s="26">
        <v>136511.40843733333</v>
      </c>
      <c r="C3" s="1"/>
    </row>
    <row r="4" spans="1:13" ht="16">
      <c r="A4" s="25" t="s">
        <v>41</v>
      </c>
      <c r="B4" s="26">
        <v>149330.29000800001</v>
      </c>
      <c r="C4" s="1"/>
    </row>
    <row r="5" spans="1:13" ht="16">
      <c r="A5" s="25" t="s">
        <v>42</v>
      </c>
      <c r="B5" s="26">
        <v>139083.69007466667</v>
      </c>
      <c r="C5" s="1"/>
    </row>
    <row r="6" spans="1:13" ht="16">
      <c r="A6" s="25" t="s">
        <v>43</v>
      </c>
      <c r="B6" s="26">
        <v>143339.16998933334</v>
      </c>
      <c r="C6" s="1"/>
    </row>
    <row r="7" spans="1:13" ht="16">
      <c r="A7" s="25" t="s">
        <v>44</v>
      </c>
      <c r="B7" s="26">
        <v>144682.08962666668</v>
      </c>
      <c r="C7" s="1"/>
    </row>
    <row r="8" spans="1:13" ht="16">
      <c r="A8" s="25" t="s">
        <v>45</v>
      </c>
      <c r="B8" s="26">
        <v>157500.97119733333</v>
      </c>
      <c r="C8" s="1"/>
    </row>
    <row r="9" spans="1:13" ht="16">
      <c r="A9" s="25" t="s">
        <v>46</v>
      </c>
      <c r="B9" s="26">
        <v>147254.36761333334</v>
      </c>
      <c r="C9" s="1"/>
    </row>
    <row r="10" spans="1:13" ht="16">
      <c r="A10" s="25" t="s">
        <v>47</v>
      </c>
      <c r="B10" s="26">
        <v>151509.84752800001</v>
      </c>
      <c r="C10" s="1"/>
    </row>
    <row r="11" spans="1:13" ht="16">
      <c r="A11" s="1"/>
      <c r="B11" s="26">
        <f>SUM(B7:B10)</f>
        <v>600947.27596533345</v>
      </c>
      <c r="C11" s="1"/>
    </row>
    <row r="12" spans="1:13" ht="16">
      <c r="A12" s="1"/>
      <c r="B12" s="1"/>
      <c r="C12" s="1"/>
    </row>
    <row r="13" spans="1:13" ht="16">
      <c r="A13" s="1"/>
      <c r="B13" s="1"/>
      <c r="C13" s="1"/>
    </row>
    <row r="14" spans="1:13" ht="16">
      <c r="A14" s="18" t="s">
        <v>23</v>
      </c>
      <c r="B14" s="1"/>
      <c r="C14" s="1"/>
      <c r="J14" t="s">
        <v>54</v>
      </c>
      <c r="K14" t="s">
        <v>55</v>
      </c>
      <c r="M14" t="s">
        <v>54</v>
      </c>
    </row>
    <row r="15" spans="1:13" ht="16">
      <c r="A15" s="1" t="s">
        <v>11</v>
      </c>
      <c r="B15" s="27">
        <f>C15/$C$19</f>
        <v>0.13298523370945084</v>
      </c>
      <c r="C15" s="26">
        <v>87441.938815940957</v>
      </c>
      <c r="J15">
        <v>4960</v>
      </c>
      <c r="K15" s="31">
        <f>J15/J18</f>
        <v>0.95183266167722125</v>
      </c>
      <c r="L15" t="s">
        <v>52</v>
      </c>
      <c r="M15" s="31">
        <v>0.95183266167722125</v>
      </c>
    </row>
    <row r="16" spans="1:13" ht="16">
      <c r="A16" s="1" t="s">
        <v>48</v>
      </c>
      <c r="B16" s="27">
        <f>C16/$C$19</f>
        <v>0.12788632909022149</v>
      </c>
      <c r="C16" s="26">
        <v>84089.25</v>
      </c>
      <c r="J16">
        <v>200</v>
      </c>
      <c r="K16" s="31">
        <f>J16/J18</f>
        <v>3.8380349261178275E-2</v>
      </c>
      <c r="L16" t="s">
        <v>51</v>
      </c>
      <c r="M16" s="31">
        <v>3.8380349261178275E-2</v>
      </c>
    </row>
    <row r="17" spans="1:13" ht="16">
      <c r="A17" s="1" t="s">
        <v>49</v>
      </c>
      <c r="B17" s="27">
        <f>C17/$C$19</f>
        <v>0.6387529704200362</v>
      </c>
      <c r="C17" s="26">
        <v>420000</v>
      </c>
      <c r="J17">
        <v>51</v>
      </c>
      <c r="K17" s="31">
        <f>J17/J18</f>
        <v>9.7869890616004603E-3</v>
      </c>
      <c r="L17" t="s">
        <v>53</v>
      </c>
      <c r="M17" s="31">
        <v>9.7869890616004603E-3</v>
      </c>
    </row>
    <row r="18" spans="1:13" ht="16">
      <c r="A18" s="1" t="s">
        <v>50</v>
      </c>
      <c r="B18" s="27">
        <f>C18/$C$19</f>
        <v>0.10037546678029141</v>
      </c>
      <c r="C18" s="26">
        <v>66000</v>
      </c>
      <c r="J18">
        <f>SUM(J15:J17)</f>
        <v>5211</v>
      </c>
    </row>
    <row r="19" spans="1:13" ht="16">
      <c r="A19" s="1"/>
      <c r="B19" s="1"/>
      <c r="C19" s="26">
        <f>SUM(C15:C18)</f>
        <v>657531.18881594099</v>
      </c>
    </row>
    <row r="25" spans="1:13">
      <c r="B25" s="10"/>
      <c r="C25" s="24"/>
      <c r="D25" s="10"/>
    </row>
    <row r="26" spans="1:13">
      <c r="B26" t="s">
        <v>52</v>
      </c>
      <c r="C26" t="s">
        <v>51</v>
      </c>
    </row>
    <row r="27" spans="1:13">
      <c r="A27">
        <v>2009</v>
      </c>
      <c r="B27">
        <v>57103947</v>
      </c>
      <c r="C27">
        <v>17955000</v>
      </c>
    </row>
    <row r="28" spans="1:13">
      <c r="A28">
        <v>2010</v>
      </c>
      <c r="B28">
        <v>54967199</v>
      </c>
      <c r="C28">
        <v>9174125</v>
      </c>
    </row>
    <row r="29" spans="1:13">
      <c r="A29">
        <v>2011</v>
      </c>
      <c r="B29">
        <v>53052448</v>
      </c>
      <c r="C29">
        <v>5838670</v>
      </c>
      <c r="D29" s="24"/>
    </row>
    <row r="30" spans="1:13">
      <c r="A30">
        <v>2012</v>
      </c>
      <c r="B30">
        <v>48700343</v>
      </c>
      <c r="C30">
        <v>69585000</v>
      </c>
    </row>
    <row r="31" spans="1:13">
      <c r="A31">
        <v>2013</v>
      </c>
      <c r="B31">
        <v>54576783</v>
      </c>
      <c r="C31">
        <v>16262742</v>
      </c>
    </row>
    <row r="32" spans="1:13">
      <c r="A32">
        <v>2014</v>
      </c>
      <c r="B32">
        <v>67754278</v>
      </c>
      <c r="C32">
        <v>7347000</v>
      </c>
    </row>
    <row r="33" spans="1:3">
      <c r="A33">
        <v>2015</v>
      </c>
      <c r="B33">
        <v>80168137</v>
      </c>
      <c r="C33">
        <v>13523736</v>
      </c>
    </row>
    <row r="34" spans="1:3">
      <c r="A34">
        <v>2016</v>
      </c>
      <c r="B34">
        <v>114389123</v>
      </c>
      <c r="C34">
        <v>32762500</v>
      </c>
    </row>
    <row r="35" spans="1:3">
      <c r="A35">
        <v>2017</v>
      </c>
      <c r="B35">
        <v>135194658</v>
      </c>
      <c r="C35">
        <v>20849827</v>
      </c>
    </row>
    <row r="36" spans="1:3">
      <c r="A36">
        <v>2018</v>
      </c>
      <c r="B36">
        <v>139564614</v>
      </c>
      <c r="C36">
        <v>16172292</v>
      </c>
    </row>
    <row r="37" spans="1:3">
      <c r="A37">
        <v>2019</v>
      </c>
      <c r="B37">
        <v>155606245</v>
      </c>
      <c r="C37">
        <v>23098200</v>
      </c>
    </row>
    <row r="38" spans="1:3">
      <c r="A38">
        <v>2020</v>
      </c>
      <c r="B38">
        <v>130825088</v>
      </c>
      <c r="C38">
        <v>22744005</v>
      </c>
    </row>
    <row r="39" spans="1:3">
      <c r="A39">
        <v>2021</v>
      </c>
      <c r="B39">
        <v>117002827</v>
      </c>
      <c r="C39">
        <v>13950000</v>
      </c>
    </row>
    <row r="40" spans="1:3">
      <c r="A40">
        <v>2022</v>
      </c>
      <c r="B40" s="30">
        <v>568264.55850933341</v>
      </c>
    </row>
    <row r="41" spans="1:3">
      <c r="A41">
        <v>2023</v>
      </c>
      <c r="B41" s="30">
        <v>600947.27596533345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NYC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2022-12-01T13:48:43Z</dcterms:created>
  <dcterms:modified xsi:type="dcterms:W3CDTF">2022-12-14T04:39:14Z</dcterms:modified>
</cp:coreProperties>
</file>